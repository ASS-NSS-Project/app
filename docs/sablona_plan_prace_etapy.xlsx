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án implementace" sheetId="1" state="visible" r:id="rId3"/>
    <sheet name="registr rizi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<sst xmlns="http://schemas.openxmlformats.org/spreadsheetml/2006/main" count="338" uniqueCount="203">
  <si>
    <t xml:space="preserve">PLÁN IMPLEMENTACE   |   Tým: APIčáci   |   2026-03-10</t>
  </si>
  <si>
    <t xml:space="preserve">P.Č.</t>
  </si>
  <si>
    <t xml:space="preserve">UP FÁZE</t>
  </si>
  <si>
    <t xml:space="preserve">AKTIVITA</t>
  </si>
  <si>
    <t xml:space="preserve">VÝSTUP</t>
  </si>
  <si>
    <t xml:space="preserve">MILNÍK V ZADÁNÍ</t>
  </si>
  <si>
    <t xml:space="preserve">CVIČENÍ</t>
  </si>
  <si>
    <t xml:space="preserve">STAV</t>
  </si>
  <si>
    <t xml:space="preserve">ZAHÁJENÍ</t>
  </si>
  <si>
    <t xml:space="preserve">ODHAD v h (pesimistický)</t>
  </si>
  <si>
    <t xml:space="preserve">ODHAD v h (optimistický)</t>
  </si>
  <si>
    <t xml:space="preserve">NACENĚNÍ v kč</t>
  </si>
  <si>
    <t xml:space="preserve">Prostudování zadání a sestavení týmu</t>
  </si>
  <si>
    <t xml:space="preserve">Zápisy z diskuze, seznam otázek, rozdělení práce</t>
  </si>
  <si>
    <t xml:space="preserve">-</t>
  </si>
  <si>
    <t xml:space="preserve">ASS cvič.1</t>
  </si>
  <si>
    <t xml:space="preserve">Dokončeno</t>
  </si>
  <si>
    <t xml:space="preserve">Definice cílů projektu a obchodního případu</t>
  </si>
  <si>
    <t xml:space="preserve">Dokument: účel systému, přínosy, ...</t>
  </si>
  <si>
    <t xml:space="preserve">ASS cvič.2</t>
  </si>
  <si>
    <t xml:space="preserve">Probíhá</t>
  </si>
  <si>
    <t xml:space="preserve">Specifikace funkčních a nefunkčních požadavků</t>
  </si>
  <si>
    <t xml:space="preserve">Dokument požadavků: funkční, výkonnostní, bezpečnostní, právní</t>
  </si>
  <si>
    <t xml:space="preserve">M0</t>
  </si>
  <si>
    <t xml:space="preserve">Analýza rizik</t>
  </si>
  <si>
    <t xml:space="preserve">Registr rizik + mitigace</t>
  </si>
  <si>
    <t xml:space="preserve">ASS cvič.2-4</t>
  </si>
  <si>
    <t xml:space="preserve">Sestavení plánu projektu a rozdělení práce</t>
  </si>
  <si>
    <t xml:space="preserve">WBS?, RACI, plán implementace, časový harmonogram?</t>
  </si>
  <si>
    <t xml:space="preserve">ASS cvič.1-2</t>
  </si>
  <si>
    <t xml:space="preserve">Nastavení vývojového prostředí a nástrojů</t>
  </si>
  <si>
    <t xml:space="preserve">Funkční Git repozitář, komunikační kanály, CI</t>
  </si>
  <si>
    <t xml:space="preserve">ROZPRACOVÁNÍ</t>
  </si>
  <si>
    <t xml:space="preserve">Specifikace případů užití</t>
  </si>
  <si>
    <t xml:space="preserve">UC Diagram, ...</t>
  </si>
  <si>
    <t xml:space="preserve">M0-M1</t>
  </si>
  <si>
    <t xml:space="preserve">ASS cvič.2-3</t>
  </si>
  <si>
    <t xml:space="preserve">Nezahájeno</t>
  </si>
  <si>
    <t xml:space="preserve">Návrh architektury systému</t>
  </si>
  <si>
    <t xml:space="preserve">Diagram komponent, diagram nasazení, popis vrstev a interakcí</t>
  </si>
  <si>
    <t xml:space="preserve">ASS cvič.3-4</t>
  </si>
  <si>
    <t xml:space="preserve">Datový model a API</t>
  </si>
  <si>
    <t xml:space="preserve">ERD, API specifikace rozhraní mezi komponentami</t>
  </si>
  <si>
    <t xml:space="preserve">Návrh modulu sběru a zpracování dat</t>
  </si>
  <si>
    <t xml:space="preserve">Popis strategií k získávání dat, fallback, datový tok</t>
  </si>
  <si>
    <t xml:space="preserve">M1</t>
  </si>
  <si>
    <t xml:space="preserve">ASS cvič.4-5</t>
  </si>
  <si>
    <t xml:space="preserve">Návrh AI a RAG vrstvy</t>
  </si>
  <si>
    <t xml:space="preserve">Popis chunking strategie, embedding přístupu, retrieval logiky a citací</t>
  </si>
  <si>
    <t xml:space="preserve">M1-M2</t>
  </si>
  <si>
    <t xml:space="preserve">Bezpečnostní návrh a politika dat</t>
  </si>
  <si>
    <t xml:space="preserve">Návrh řízení přístupu, PII politika, GDPR opatření</t>
  </si>
  <si>
    <t xml:space="preserve">M0-M2</t>
  </si>
  <si>
    <t xml:space="preserve">Testovací strategie a akceptační kritéria</t>
  </si>
  <si>
    <t xml:space="preserve">plán testování, akceptační kritéria</t>
  </si>
  <si>
    <t xml:space="preserve">M1-M4</t>
  </si>
  <si>
    <t xml:space="preserve">ASS cvíč. 4</t>
  </si>
  <si>
    <t xml:space="preserve">Implementace a testování prvního prototypu</t>
  </si>
  <si>
    <t xml:space="preserve">Funkční prototyp základní komponenty, výsledky testů</t>
  </si>
  <si>
    <t xml:space="preserve">ASS cvič. 5-6</t>
  </si>
  <si>
    <t xml:space="preserve">Prezentace výstupů zahájení a rozpracování</t>
  </si>
  <si>
    <t xml:space="preserve">Prezentace na cvičení ASS, zápis zpětné vazby</t>
  </si>
  <si>
    <t xml:space="preserve">ASS cvič. 6</t>
  </si>
  <si>
    <t xml:space="preserve">KONSTRUKCE</t>
  </si>
  <si>
    <t xml:space="preserve">Zprovoznění infrastruktury a prostředí</t>
  </si>
  <si>
    <t xml:space="preserve">Dokumentace VM, Docker, CI/CD</t>
  </si>
  <si>
    <t xml:space="preserve">NSS týden 7-8</t>
  </si>
  <si>
    <t xml:space="preserve">Implementace modulu sběru dat</t>
  </si>
  <si>
    <t xml:space="preserve">Funkční komponenta pro získávání obsahu webu (různé strategie)</t>
  </si>
  <si>
    <t xml:space="preserve">Implementace zpracování a ukládání obsahu</t>
  </si>
  <si>
    <t xml:space="preserve">Normalizace obsahu do jednotného formátu, ukládání do datového úložiště</t>
  </si>
  <si>
    <t xml:space="preserve">NSS týden 8-9</t>
  </si>
  <si>
    <t xml:space="preserve">Implementace vektorového indexu a RAG pipeline</t>
  </si>
  <si>
    <t xml:space="preserve">Embedding, vektorová databáze, retrieval, generování odpovědi s citacemi</t>
  </si>
  <si>
    <t xml:space="preserve">M2</t>
  </si>
  <si>
    <t xml:space="preserve">Implementace API a UI</t>
  </si>
  <si>
    <t xml:space="preserve">API, webové UI pro dotazy, zobrazení citací, administrační rozhraní</t>
  </si>
  <si>
    <t xml:space="preserve">NSS týden 9-10</t>
  </si>
  <si>
    <t xml:space="preserve">Implementace autentizace, autorizace, auditování</t>
  </si>
  <si>
    <t xml:space="preserve">Přihlášení uživatelů, správa rolí (RBAC), audit log přístupů</t>
  </si>
  <si>
    <t xml:space="preserve">Nasazení monitoringu a observability</t>
  </si>
  <si>
    <t xml:space="preserve">Metriky, alerty, real time dashboard</t>
  </si>
  <si>
    <t xml:space="preserve">Evaluace a porovnání přístupů</t>
  </si>
  <si>
    <t xml:space="preserve">Destovací dataset, retrieval metriky, porovnání embedding modelů</t>
  </si>
  <si>
    <t xml:space="preserve">M3</t>
  </si>
  <si>
    <t xml:space="preserve">Průběžná technická dokumentace</t>
  </si>
  <si>
    <t xml:space="preserve">README, komentáře, záznamy rozhodnutí a změn v architektuře</t>
  </si>
  <si>
    <t xml:space="preserve">M0-M4</t>
  </si>
  <si>
    <t xml:space="preserve">ZAVEDENÍ</t>
  </si>
  <si>
    <t xml:space="preserve">Zálohy, obnova, DR</t>
  </si>
  <si>
    <t xml:space="preserve">Funkční zálohovací mechanismus, ověřený postup obnovy</t>
  </si>
  <si>
    <t xml:space="preserve">M4</t>
  </si>
  <si>
    <t xml:space="preserve">NSS týden 11-12</t>
  </si>
  <si>
    <t xml:space="preserve">Bezpečnostní hardening</t>
  </si>
  <si>
    <t xml:space="preserve">Šifrování, správa secrets, revize přístupových práv</t>
  </si>
  <si>
    <t xml:space="preserve">Produkční nasazení a konfigurace</t>
  </si>
  <si>
    <t xml:space="preserve">Nasazený systém v produkčním prostředí, konfigurační manifesty</t>
  </si>
  <si>
    <t xml:space="preserve">NSS týden 12</t>
  </si>
  <si>
    <t xml:space="preserve">Provozní dokumentace a příručky</t>
  </si>
  <si>
    <t xml:space="preserve">Instalační příručka, runbook, postup obnovy, uživatelský manuál</t>
  </si>
  <si>
    <t xml:space="preserve">NSS týden 12-13</t>
  </si>
  <si>
    <t xml:space="preserve">Finální testy a akceptace systému</t>
  </si>
  <si>
    <t xml:space="preserve">End-to-end test; kontrolní seznam akceptačních kritérií M1–M4</t>
  </si>
  <si>
    <t xml:space="preserve">NSS týden 13</t>
  </si>
  <si>
    <t xml:space="preserve">Prezentace a obhajoba</t>
  </si>
  <si>
    <t xml:space="preserve">Finální prezentace, demo systému</t>
  </si>
  <si>
    <t xml:space="preserve">DOHODNUTÁ HODINOVÁ SAZBA NA STUDENTA</t>
  </si>
  <si>
    <t xml:space="preserve">300 kč</t>
  </si>
  <si>
    <t xml:space="preserve">REZERVY (pro odhad)</t>
  </si>
  <si>
    <t xml:space="preserve">na studenta</t>
  </si>
  <si>
    <t xml:space="preserve">celkem</t>
  </si>
  <si>
    <t xml:space="preserve">samostudium technologií</t>
  </si>
  <si>
    <t xml:space="preserve">dokumentace řešení</t>
  </si>
  <si>
    <t xml:space="preserve">vlastní testování</t>
  </si>
  <si>
    <t xml:space="preserve">komunikace a synchronizace</t>
  </si>
  <si>
    <t xml:space="preserve">REGISTR (ANALÝZA) RIZIK   |   Tým: APIčáci   |  2026-03-05</t>
  </si>
  <si>
    <t xml:space="preserve">ID</t>
  </si>
  <si>
    <t xml:space="preserve">KATEGORIE</t>
  </si>
  <si>
    <t xml:space="preserve">RIZIKO</t>
  </si>
  <si>
    <t xml:space="preserve">MOŽNÝ DOPAD</t>
  </si>
  <si>
    <t xml:space="preserve">MITIGACE / OPATŘENÍ</t>
  </si>
  <si>
    <t xml:space="preserve">VLASTNÍK</t>
  </si>
  <si>
    <t xml:space="preserve">STATUS</t>
  </si>
  <si>
    <t xml:space="preserve">T-01</t>
  </si>
  <si>
    <t xml:space="preserve">Technické</t>
  </si>
  <si>
    <t xml:space="preserve">Nízká kvalita extrakce obsahu</t>
  </si>
  <si>
    <t xml:space="preserve">RAG dostává neúplná nebo chybná data; citace jsou nepřesné</t>
  </si>
  <si>
    <t xml:space="preserve">definovat kvalitativní prahy, kombinovat více metod extrakce, průběžná manuální kontrola vzorků</t>
  </si>
  <si>
    <t xml:space="preserve">[jméno]</t>
  </si>
  <si>
    <t xml:space="preserve">Otevřené</t>
  </si>
  <si>
    <t xml:space="preserve">T-02</t>
  </si>
  <si>
    <t xml:space="preserve">Tichá selhání při zpracování dat bez upozornění</t>
  </si>
  <si>
    <t xml:space="preserve">Data se tiše nezpracují; index je neúplný, systém se tváří funkčně ale odpovědi jsou staré</t>
  </si>
  <si>
    <t xml:space="preserve">alerting a monitoring co nejvíce kroků pipeline, testy</t>
  </si>
  <si>
    <t xml:space="preserve">T-03</t>
  </si>
  <si>
    <t xml:space="preserve">Embedding worker – výkonnostní bottleneck (CPU/GPU)</t>
  </si>
  <si>
    <t xml:space="preserve">Velký backlog fronty; pomalý rebuild indexu; zpoždění milníku M2</t>
  </si>
  <si>
    <t xml:space="preserve">Asynchronní fronta úloh; dávkové zpracován; využití výpočetní kapacity MetaCentra</t>
  </si>
  <si>
    <t xml:space="preserve">T-04</t>
  </si>
  <si>
    <t xml:space="preserve">LLM halucinace – tvrzení bez opory v citacích</t>
  </si>
  <si>
    <t xml:space="preserve">Výstupy systému jsou nespolehlivé; nesplněno akceptační kritérium</t>
  </si>
  <si>
    <t xml:space="preserve">Vyžadování citací u každé odpovědi (citace povinné); evaluace coverage citacemi; porovnání RAG vs přímý dotaz do evaluace M3</t>
  </si>
  <si>
    <t xml:space="preserve">T-05</t>
  </si>
  <si>
    <t xml:space="preserve">Nekonzistentní formát zpracovaného obsahu napříč zdroji</t>
  </si>
  <si>
    <t xml:space="preserve">Degradace kvality retrieval fáze; chybné nebo chybějící citace</t>
  </si>
  <si>
    <t xml:space="preserve">Definovat a validovat jednotný datový formát před zahájením implementace (M0); unit testy mapperů</t>
  </si>
  <si>
    <t xml:space="preserve">T-06</t>
  </si>
  <si>
    <t xml:space="preserve">Nestabilita komponenty pro sběr dat při dlouhém běhu</t>
  </si>
  <si>
    <t xml:space="preserve">Sběr dat se zastaví bez upozornění; neúplný index</t>
  </si>
  <si>
    <t xml:space="preserve">Restart policy; health check endpointy; monitoring spotřeby zdrojů</t>
  </si>
  <si>
    <t xml:space="preserve">P-01</t>
  </si>
  <si>
    <t xml:space="preserve">Projektové</t>
  </si>
  <si>
    <t xml:space="preserve">Nedostatečná koordinace 13členného týmu</t>
  </si>
  <si>
    <t xml:space="preserve">Duplicitní nebo nevykonaná práce; integrace komponent nefunguje; zpoždění milníků</t>
  </si>
  <si>
    <t xml:space="preserve">rozdělení práce dle plánu implementace, RACI, pravidelné synchronizace dohled manažerem projektu</t>
  </si>
  <si>
    <t xml:space="preserve">Mitigované</t>
  </si>
  <si>
    <t xml:space="preserve">P-02</t>
  </si>
  <si>
    <t xml:space="preserve">Nedostatečná nebo opožděná dokumentace</t>
  </si>
  <si>
    <t xml:space="preserve">Nekompletní odevzdání; ztráta kontextu při předávání práce mezi členy týmu</t>
  </si>
  <si>
    <t xml:space="preserve">Průběžná dokumentace jako součást každé aktivity; kontrola manažerem projektu</t>
  </si>
  <si>
    <t xml:space="preserve">P-03</t>
  </si>
  <si>
    <t xml:space="preserve">Podcenění časové náročnosti jednotlivých fází (zejména M3)</t>
  </si>
  <si>
    <t xml:space="preserve">Bez hotové architektury a API kontraktů nelze paralelně implementovat; domino efekt na M1–M4; při odbytí evaluace (M3) chybí srovnávací data pro obhajobu</t>
  </si>
  <si>
    <t xml:space="preserve">Prioritizovat výstupy Rozpracování (architektura, datový model, API) před zahájením implementace; rezervovat dostatek času v NSS týdnech 10–11; připravit testovací dataset souběžně s implementací</t>
  </si>
  <si>
    <t xml:space="preserve">P-04</t>
  </si>
  <si>
    <t xml:space="preserve">Nedostatečné testování před odevzdáním</t>
  </si>
  <si>
    <t xml:space="preserve">Chyby se projeví těsně před deadline; není čas na opravu</t>
  </si>
  <si>
    <t xml:space="preserve">Definovat akceptační kritéria pro každý milník; smoke test jako podmínka uzavření každé fáze</t>
  </si>
  <si>
    <t xml:space="preserve">S-01</t>
  </si>
  <si>
    <t xml:space="preserve">Bezpečnostní</t>
  </si>
  <si>
    <t xml:space="preserve">Secrets (API klíče, hesla) v kódu nebo logu</t>
  </si>
  <si>
    <t xml:space="preserve">Kompromitace přihlašovacích údajů; bezpečnostní incident</t>
  </si>
  <si>
    <t xml:space="preserve">Pre-commit hook pro detekci secrets; konfigurační soubory mimo repozitář; správce secrets pro produkci</t>
  </si>
  <si>
    <t xml:space="preserve">S-02</t>
  </si>
  <si>
    <t xml:space="preserve">Zachycení osobních údajů třetích stran při sběru dat</t>
  </si>
  <si>
    <t xml:space="preserve">Porušení GDPR; únik citlivých dat zaměstnanců nebo třetích stran = právní riziko</t>
  </si>
  <si>
    <t xml:space="preserve">Politika zpracování dat definovaná v M0; minimalizace ukládaných dat; automatická detekce PII</t>
  </si>
  <si>
    <t xml:space="preserve">S-03</t>
  </si>
  <si>
    <t xml:space="preserve">Neoprávněný přístup k uloženým datům a artefaktům</t>
  </si>
  <si>
    <t xml:space="preserve">Neoprávněný přístup k důkazním artefaktům; porušení RBAC</t>
  </si>
  <si>
    <t xml:space="preserve">Řízení přístupu na základě rolí; audit log přístupů; šifrování komunikace mezi službami</t>
  </si>
  <si>
    <t xml:space="preserve">O-01</t>
  </si>
  <si>
    <t xml:space="preserve">Provozní</t>
  </si>
  <si>
    <t xml:space="preserve">Výpadek datového úložiště bez zálohy</t>
  </si>
  <si>
    <t xml:space="preserve">Ztráta zpracovaných dat; nelze sestavit index ani doložit citace</t>
  </si>
  <si>
    <t xml:space="preserve">Pravidelné zálohy s ověřeným postupem obnovy; replikace do záložní lokality; test obnovy v M4</t>
  </si>
  <si>
    <t xml:space="preserve">O-02</t>
  </si>
  <si>
    <t xml:space="preserve">Absence monitoringu způsobí nepozorované selhání systému</t>
  </si>
  <si>
    <t xml:space="preserve">Systém přestane fungovat bez upozornění; zastaralé odpovědi bez vědomí uživatelů</t>
  </si>
  <si>
    <t xml:space="preserve">Metriky a alerty pro každou fázi pipeline; dashboard stavu systému nasadit nejpozději v M2</t>
  </si>
  <si>
    <t xml:space="preserve">O-03</t>
  </si>
  <si>
    <t xml:space="preserve">Ztráta dat při přechodu na produkční prostředí</t>
  </si>
  <si>
    <t xml:space="preserve">Data z vývojového prostředí nelze přenést bez ztráty; nutnost přestavby indexu</t>
  </si>
  <si>
    <t xml:space="preserve">Dokumentovaný postup migrace; export a import dat před ostrým nasazením; test migrace v M4</t>
  </si>
  <si>
    <t xml:space="preserve">L-01</t>
  </si>
  <si>
    <t xml:space="preserve">Právní</t>
  </si>
  <si>
    <t xml:space="preserve">Sběr dat bez právního titulu – porušení podmínek použití nebo autorského práva</t>
  </si>
  <si>
    <t xml:space="preserve">Právní riziko; nutnost smazat data; projekt nelze veřejně prezentovat</t>
  </si>
  <si>
    <t xml:space="preserve">Whitelist zdrojů s doloženým právním titulem povinný v M0; kontrola robots.txt; evidence souhlasů</t>
  </si>
  <si>
    <t xml:space="preserve">L-02</t>
  </si>
  <si>
    <t xml:space="preserve">Zpracování osobních údajů bez právního základu (GDPR)</t>
  </si>
  <si>
    <t xml:space="preserve">Zpracování osobních údajů bez souhlasu; riziko pokuty; nutnost smazat data</t>
  </si>
  <si>
    <t xml:space="preserve">Minimalizace zpracovávaných dat; krátká retenční lhůta pro citlivé zdroje; detekce osobních údajů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</si>
</sst>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theme="0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9"/>
      <color rgb="FF000000"/>
      <name val="Arial"/>
      <family val="2"/>
      <charset val="1"/>
    </font>
    <font>
      <b val="true"/>
      <sz val="9"/>
      <color rgb="FF1A5276"/>
      <name val="Arial"/>
      <family val="2"/>
      <charset val="1"/>
    </font>
    <font>
      <b val="true"/>
      <sz val="9"/>
      <color rgb="FF1D6A39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784212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AFAF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F5E3"/>
        <bgColor rgb="FFE8F8F5"/>
      </patternFill>
    </fill>
    <fill>
      <patternFill patternType="solid">
        <fgColor rgb="FFFEF9E7"/>
        <bgColor rgb="FFFAFAFA"/>
      </patternFill>
    </fill>
    <fill>
      <patternFill patternType="solid">
        <fgColor rgb="FFFDEBD0"/>
        <bgColor rgb="FFFDEADA"/>
      </patternFill>
    </fill>
    <fill>
      <patternFill patternType="solid">
        <fgColor rgb="FFFFC000"/>
        <bgColor rgb="FFFF9900"/>
      </patternFill>
    </fill>
    <fill>
      <patternFill patternType="solid">
        <fgColor theme="9" tint="0.7999"/>
        <bgColor rgb="FFFDEBD0"/>
      </patternFill>
    </fill>
    <fill>
      <patternFill patternType="solid">
        <fgColor rgb="FFF4ECF7"/>
        <bgColor rgb="FFFDEADA"/>
      </patternFill>
    </fill>
    <fill>
      <patternFill patternType="solid">
        <fgColor rgb="FFE8F8F5"/>
        <bgColor rgb="FFFAFAFA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 diagonalUp="false" diagonalDown="false">
      <left/>
      <right style="thin">
        <color rgb="FFBBBBBB"/>
      </right>
      <top/>
      <bottom style="thin">
        <color rgb="FFBBBBBB"/>
      </bottom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rgb="FFBBBBBB"/>
      </right>
      <top style="thin">
        <color theme="0" tint="-0.25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theme="0" tint="-0.25"/>
      </top>
      <bottom style="thin">
        <color rgb="FFBBBBBB"/>
      </bottom>
      <diagonal/>
    </border>
    <border diagonalUp="false" diagonalDown="false">
      <left/>
      <right/>
      <top style="thin">
        <color theme="0" tint="-0.25"/>
      </top>
      <bottom style="thin">
        <color rgb="FFBBBBBB"/>
      </bottom>
      <diagonal/>
    </border>
    <border diagonalUp="false" diagonalDown="false">
      <left style="thin">
        <color theme="0" tint="-0.25"/>
      </left>
      <right style="thin">
        <color rgb="FFBBBBBB"/>
      </right>
      <top/>
      <bottom style="thin">
        <color theme="0" tint="-0.25"/>
      </bottom>
      <diagonal/>
    </border>
    <border diagonalUp="false" diagonalDown="false">
      <left/>
      <right style="thin">
        <color rgb="FFBBBBBB"/>
      </right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/>
      <right style="thin">
        <color rgb="FFBBBBBB"/>
      </right>
      <top/>
      <bottom/>
      <diagonal/>
    </border>
    <border diagonalUp="false" diagonalDown="false">
      <left style="thin">
        <color rgb="FFBBBBBB"/>
      </left>
      <right/>
      <top/>
      <bottom style="thin">
        <color rgb="FFBBBBBB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rgb="FFBBBBBB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rgb="FFBBBBBB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rgb="FFBBBBBB"/>
      </left>
      <right/>
      <top/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rgb="FFBBBBBB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rgb="FFBBBBBB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rgb="FFBBBBBB"/>
      </top>
      <bottom style="thin">
        <color theme="0" tint="-0.25"/>
      </bottom>
      <diagonal/>
    </border>
    <border diagonalUp="false" diagonalDown="false">
      <left/>
      <right/>
      <top/>
      <bottom style="thin">
        <color theme="0" tint="-0.1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medium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/>
      <diagonal/>
    </border>
    <border diagonalUp="false" diagonalDown="false">
      <left/>
      <right/>
      <top style="thin">
        <color theme="0" tint="-0.25"/>
      </top>
      <bottom/>
      <diagonal/>
    </border>
    <border diagonalUp="false" diagonalDown="false">
      <left/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/>
      <top/>
      <bottom/>
      <diagonal/>
    </border>
    <border diagonalUp="false" diagonalDown="false">
      <left style="thin">
        <color rgb="FFBBBBBB"/>
      </left>
      <right style="thin">
        <color theme="0" tint="-0.25"/>
      </right>
      <top/>
      <bottom style="thin">
        <color rgb="FFBBBBBB"/>
      </bottom>
      <diagonal/>
    </border>
    <border diagonalUp="false" diagonalDown="false">
      <left style="thin">
        <color theme="0" tint="-0.25"/>
      </left>
      <right/>
      <top/>
      <bottom style="thin">
        <color theme="0" tint="-0.25"/>
      </bottom>
      <diagonal/>
    </border>
    <border diagonalUp="false" diagonalDown="false">
      <left style="thin">
        <color rgb="FFBBBBBB"/>
      </left>
      <right style="thin">
        <color rgb="FFBBBBBB"/>
      </right>
      <top/>
      <bottom style="thin">
        <color theme="0" tint="-0.25"/>
      </bottom>
      <diagonal/>
    </border>
    <border diagonalUp="false" diagonalDown="false">
      <left style="thin">
        <color rgb="FFBBBBBB"/>
      </left>
      <right style="thin">
        <color theme="0" tint="-0.25"/>
      </right>
      <top/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9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9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BBBBBB"/>
      <rgbColor rgb="FFF4ECF7"/>
      <rgbColor rgb="FFFAFAFA"/>
      <rgbColor rgb="FFFDEADA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2" activeCellId="0" sqref="K4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5.14"/>
    <col collapsed="false" customWidth="true" hidden="false" outlineLevel="0" max="3" min="3" style="0" width="40"/>
    <col collapsed="false" customWidth="true" hidden="false" outlineLevel="0" max="4" min="4" style="0" width="59.71"/>
    <col collapsed="false" customWidth="true" hidden="false" outlineLevel="0" max="5" min="5" style="0" width="15.71"/>
    <col collapsed="false" customWidth="true" hidden="false" outlineLevel="0" max="6" min="6" style="0" width="26.57"/>
    <col collapsed="false" customWidth="true" hidden="false" outlineLevel="0" max="7" min="7" style="0" width="10.29"/>
    <col collapsed="false" customWidth="true" hidden="false" outlineLevel="0" max="8" min="8" style="0" width="11.57"/>
    <col collapsed="false" customWidth="true" hidden="false" outlineLevel="0" max="9" min="9" style="0" width="11.85"/>
    <col collapsed="false" customWidth="true" hidden="false" outlineLevel="0" max="10" min="10" style="0" width="12.15"/>
    <col collapsed="false" customWidth="true" hidden="false" outlineLevel="0" max="11" min="11" style="0" width="13.42"/>
    <col collapsed="false" customWidth="true" hidden="false" outlineLevel="0" max="20" min="20" style="0" width="7.71"/>
    <col collapsed="false" customWidth="true" hidden="false" outlineLevel="0" max="24" min="24" style="0" width="8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customFormat="false" ht="22.35" hidden="false" customHeight="true" outlineLevel="0" collapsed="false">
      <c r="A3" s="5" t="s">
        <v>8</v>
      </c>
      <c r="B3" s="5"/>
      <c r="C3" s="5"/>
      <c r="D3" s="5"/>
      <c r="E3" s="5"/>
      <c r="F3" s="5"/>
      <c r="G3" s="5"/>
      <c r="I3" s="6" t="s">
        <v>9</v>
      </c>
      <c r="J3" s="7" t="s">
        <v>10</v>
      </c>
      <c r="K3" s="7" t="s">
        <v>11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B3" s="8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customFormat="false" ht="15" hidden="false" customHeight="false" outlineLevel="0" collapsed="false">
      <c r="A4" s="11" t="n">
        <v>1</v>
      </c>
      <c r="B4" s="12" t="s">
        <v>8</v>
      </c>
      <c r="C4" s="13" t="s">
        <v>12</v>
      </c>
      <c r="D4" s="13" t="s">
        <v>13</v>
      </c>
      <c r="E4" s="14" t="s">
        <v>14</v>
      </c>
      <c r="F4" s="15" t="s">
        <v>15</v>
      </c>
      <c r="G4" s="15" t="s">
        <v>16</v>
      </c>
      <c r="I4" s="16" t="n">
        <v>13</v>
      </c>
      <c r="J4" s="16" t="n">
        <f aca="false">I4/2</f>
        <v>6.5</v>
      </c>
      <c r="K4" s="17" t="n">
        <f aca="false">J4*300</f>
        <v>1950</v>
      </c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  <c r="AB4" s="18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customFormat="false" ht="15" hidden="false" customHeight="false" outlineLevel="0" collapsed="false">
      <c r="A5" s="11" t="n">
        <v>2</v>
      </c>
      <c r="B5" s="12" t="s">
        <v>8</v>
      </c>
      <c r="C5" s="13" t="s">
        <v>17</v>
      </c>
      <c r="D5" s="13" t="s">
        <v>18</v>
      </c>
      <c r="E5" s="14" t="s">
        <v>14</v>
      </c>
      <c r="F5" s="15" t="s">
        <v>19</v>
      </c>
      <c r="G5" s="15" t="s">
        <v>20</v>
      </c>
      <c r="I5" s="16" t="n">
        <v>18</v>
      </c>
      <c r="J5" s="16" t="n">
        <f aca="false">I5/2</f>
        <v>9</v>
      </c>
      <c r="K5" s="17" t="n">
        <f aca="false">J5*300</f>
        <v>2700</v>
      </c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  <c r="AB5" s="18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 customFormat="false" ht="15" hidden="false" customHeight="false" outlineLevel="0" collapsed="false">
      <c r="A6" s="11" t="n">
        <v>3</v>
      </c>
      <c r="B6" s="12" t="s">
        <v>8</v>
      </c>
      <c r="C6" s="13" t="s">
        <v>21</v>
      </c>
      <c r="D6" s="13" t="s">
        <v>22</v>
      </c>
      <c r="E6" s="14" t="s">
        <v>23</v>
      </c>
      <c r="F6" s="15" t="s">
        <v>19</v>
      </c>
      <c r="G6" s="15" t="s">
        <v>20</v>
      </c>
      <c r="I6" s="16" t="n">
        <v>20</v>
      </c>
      <c r="J6" s="16" t="n">
        <f aca="false">I6/2</f>
        <v>10</v>
      </c>
      <c r="K6" s="17" t="n">
        <f aca="false">J6*300</f>
        <v>3000</v>
      </c>
      <c r="M6" s="18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  <c r="AB6" s="16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customFormat="false" ht="15" hidden="false" customHeight="false" outlineLevel="0" collapsed="false">
      <c r="A7" s="11" t="n">
        <v>4</v>
      </c>
      <c r="B7" s="12" t="s">
        <v>8</v>
      </c>
      <c r="C7" s="13" t="s">
        <v>24</v>
      </c>
      <c r="D7" s="13" t="s">
        <v>25</v>
      </c>
      <c r="E7" s="14" t="s">
        <v>23</v>
      </c>
      <c r="F7" s="15" t="s">
        <v>26</v>
      </c>
      <c r="G7" s="15" t="s">
        <v>20</v>
      </c>
      <c r="I7" s="16" t="n">
        <v>10</v>
      </c>
      <c r="J7" s="16" t="n">
        <f aca="false">I7/2</f>
        <v>5</v>
      </c>
      <c r="K7" s="17" t="n">
        <f aca="false">J7*300</f>
        <v>1500</v>
      </c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  <c r="AB7" s="16"/>
      <c r="AC7" s="16"/>
      <c r="AD7" s="21"/>
      <c r="AE7" s="21"/>
      <c r="AF7" s="16"/>
      <c r="AG7" s="16"/>
      <c r="AH7" s="16"/>
      <c r="AI7" s="16"/>
      <c r="AJ7" s="16"/>
      <c r="AK7" s="16"/>
      <c r="AL7" s="21"/>
      <c r="AM7" s="16"/>
      <c r="AN7" s="16"/>
    </row>
    <row r="8" customFormat="false" ht="15" hidden="false" customHeight="false" outlineLevel="0" collapsed="false">
      <c r="A8" s="11" t="n">
        <v>5</v>
      </c>
      <c r="B8" s="12" t="s">
        <v>8</v>
      </c>
      <c r="C8" s="13" t="s">
        <v>27</v>
      </c>
      <c r="D8" s="13" t="s">
        <v>28</v>
      </c>
      <c r="E8" s="14" t="s">
        <v>23</v>
      </c>
      <c r="F8" s="15" t="s">
        <v>29</v>
      </c>
      <c r="G8" s="15" t="s">
        <v>20</v>
      </c>
      <c r="I8" s="16" t="n">
        <v>15</v>
      </c>
      <c r="J8" s="16" t="n">
        <f aca="false">I8/2</f>
        <v>7.5</v>
      </c>
      <c r="K8" s="17" t="n">
        <f aca="false">J8*300</f>
        <v>2250</v>
      </c>
      <c r="M8" s="18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  <c r="AB8" s="16"/>
      <c r="AC8" s="16"/>
      <c r="AD8" s="21"/>
      <c r="AE8" s="21"/>
      <c r="AF8" s="16"/>
      <c r="AG8" s="16"/>
      <c r="AH8" s="16"/>
      <c r="AI8" s="16"/>
      <c r="AJ8" s="16"/>
      <c r="AK8" s="16"/>
      <c r="AL8" s="21"/>
      <c r="AM8" s="16"/>
      <c r="AN8" s="16"/>
    </row>
    <row r="9" customFormat="false" ht="15" hidden="false" customHeight="false" outlineLevel="0" collapsed="false">
      <c r="A9" s="11" t="n">
        <v>6</v>
      </c>
      <c r="B9" s="12" t="s">
        <v>8</v>
      </c>
      <c r="C9" s="13" t="s">
        <v>30</v>
      </c>
      <c r="D9" s="13" t="s">
        <v>31</v>
      </c>
      <c r="E9" s="14" t="s">
        <v>23</v>
      </c>
      <c r="F9" s="15" t="s">
        <v>15</v>
      </c>
      <c r="G9" s="15" t="s">
        <v>16</v>
      </c>
      <c r="I9" s="16" t="n">
        <v>15</v>
      </c>
      <c r="J9" s="16" t="n">
        <f aca="false">I9/2</f>
        <v>7.5</v>
      </c>
      <c r="K9" s="17" t="n">
        <f aca="false">J9*300</f>
        <v>2250</v>
      </c>
      <c r="M9" s="18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0"/>
      <c r="AB9" s="16"/>
      <c r="AC9" s="21"/>
      <c r="AD9" s="16"/>
      <c r="AE9" s="16"/>
      <c r="AF9" s="16"/>
      <c r="AG9" s="16"/>
      <c r="AH9" s="16"/>
      <c r="AI9" s="21"/>
      <c r="AJ9" s="21"/>
      <c r="AK9" s="16"/>
      <c r="AL9" s="21"/>
      <c r="AM9" s="16"/>
      <c r="AN9" s="16"/>
    </row>
    <row r="10" customFormat="false" ht="15" hidden="false" customHeight="true" outlineLevel="0" collapsed="false">
      <c r="A10" s="5" t="s">
        <v>32</v>
      </c>
      <c r="B10" s="5"/>
      <c r="C10" s="5"/>
      <c r="D10" s="5"/>
      <c r="E10" s="5"/>
      <c r="F10" s="5"/>
      <c r="G10" s="5"/>
      <c r="K10" s="2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customFormat="false" ht="15" hidden="false" customHeight="false" outlineLevel="0" collapsed="false">
      <c r="A11" s="24" t="n">
        <v>7</v>
      </c>
      <c r="B11" s="25" t="s">
        <v>32</v>
      </c>
      <c r="C11" s="26" t="s">
        <v>33</v>
      </c>
      <c r="D11" s="26" t="s">
        <v>34</v>
      </c>
      <c r="E11" s="27" t="s">
        <v>35</v>
      </c>
      <c r="F11" s="28" t="s">
        <v>36</v>
      </c>
      <c r="G11" s="28" t="s">
        <v>37</v>
      </c>
      <c r="I11" s="29" t="n">
        <v>25</v>
      </c>
      <c r="J11" s="30" t="n">
        <f aca="false">I11/2</f>
        <v>12.5</v>
      </c>
      <c r="K11" s="17" t="n">
        <f aca="false">J11*300</f>
        <v>3750</v>
      </c>
      <c r="M11" s="31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3"/>
      <c r="Z11" s="34"/>
      <c r="AB11" s="35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7"/>
    </row>
    <row r="12" customFormat="false" ht="15" hidden="false" customHeight="false" outlineLevel="0" collapsed="false">
      <c r="A12" s="24" t="n">
        <v>8</v>
      </c>
      <c r="B12" s="25" t="s">
        <v>32</v>
      </c>
      <c r="C12" s="26" t="s">
        <v>38</v>
      </c>
      <c r="D12" s="26" t="s">
        <v>39</v>
      </c>
      <c r="E12" s="27" t="s">
        <v>35</v>
      </c>
      <c r="F12" s="28" t="s">
        <v>40</v>
      </c>
      <c r="G12" s="28" t="s">
        <v>20</v>
      </c>
      <c r="I12" s="16" t="n">
        <v>35</v>
      </c>
      <c r="J12" s="16" t="n">
        <f aca="false">I12/2</f>
        <v>17.5</v>
      </c>
      <c r="K12" s="17" t="n">
        <f aca="false">J12*300</f>
        <v>5250</v>
      </c>
      <c r="M12" s="38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20"/>
      <c r="AB12" s="16"/>
      <c r="AC12" s="21"/>
      <c r="AD12" s="16"/>
      <c r="AE12" s="16"/>
      <c r="AF12" s="16"/>
      <c r="AG12" s="21"/>
      <c r="AH12" s="16"/>
      <c r="AI12" s="21"/>
      <c r="AJ12" s="21"/>
      <c r="AK12" s="16"/>
      <c r="AL12" s="21"/>
      <c r="AM12" s="16"/>
      <c r="AN12" s="16"/>
    </row>
    <row r="13" customFormat="false" ht="15" hidden="false" customHeight="false" outlineLevel="0" collapsed="false">
      <c r="A13" s="24" t="n">
        <v>9</v>
      </c>
      <c r="B13" s="25" t="s">
        <v>32</v>
      </c>
      <c r="C13" s="26" t="s">
        <v>41</v>
      </c>
      <c r="D13" s="26" t="s">
        <v>42</v>
      </c>
      <c r="E13" s="27" t="s">
        <v>23</v>
      </c>
      <c r="F13" s="28" t="s">
        <v>40</v>
      </c>
      <c r="G13" s="28" t="s">
        <v>37</v>
      </c>
      <c r="I13" s="16" t="n">
        <v>30</v>
      </c>
      <c r="J13" s="16" t="n">
        <f aca="false">I13/2</f>
        <v>15</v>
      </c>
      <c r="K13" s="17" t="n">
        <f aca="false">J13*300</f>
        <v>4500</v>
      </c>
      <c r="M13" s="18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  <c r="AB13" s="16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customFormat="false" ht="15" hidden="false" customHeight="false" outlineLevel="0" collapsed="false">
      <c r="A14" s="24" t="n">
        <v>10</v>
      </c>
      <c r="B14" s="25" t="s">
        <v>32</v>
      </c>
      <c r="C14" s="26" t="s">
        <v>43</v>
      </c>
      <c r="D14" s="26" t="s">
        <v>44</v>
      </c>
      <c r="E14" s="27" t="s">
        <v>45</v>
      </c>
      <c r="F14" s="28" t="s">
        <v>46</v>
      </c>
      <c r="G14" s="28" t="s">
        <v>37</v>
      </c>
      <c r="I14" s="16" t="n">
        <v>20</v>
      </c>
      <c r="J14" s="16" t="n">
        <f aca="false">I14/2</f>
        <v>10</v>
      </c>
      <c r="K14" s="17" t="n">
        <f aca="false">J14*300</f>
        <v>3000</v>
      </c>
      <c r="M14" s="18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  <c r="AB14" s="16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customFormat="false" ht="15" hidden="false" customHeight="false" outlineLevel="0" collapsed="false">
      <c r="A15" s="24" t="n">
        <v>11</v>
      </c>
      <c r="B15" s="25" t="s">
        <v>32</v>
      </c>
      <c r="C15" s="26" t="s">
        <v>47</v>
      </c>
      <c r="D15" s="26" t="s">
        <v>48</v>
      </c>
      <c r="E15" s="27" t="s">
        <v>49</v>
      </c>
      <c r="F15" s="28" t="s">
        <v>46</v>
      </c>
      <c r="G15" s="28" t="s">
        <v>37</v>
      </c>
      <c r="I15" s="16" t="n">
        <v>20</v>
      </c>
      <c r="J15" s="16" t="n">
        <f aca="false">I15/2</f>
        <v>10</v>
      </c>
      <c r="K15" s="17" t="n">
        <f aca="false">J15*300</f>
        <v>3000</v>
      </c>
      <c r="M15" s="18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B15" s="16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customFormat="false" ht="15" hidden="false" customHeight="false" outlineLevel="0" collapsed="false">
      <c r="A16" s="24" t="n">
        <v>12</v>
      </c>
      <c r="B16" s="25" t="s">
        <v>32</v>
      </c>
      <c r="C16" s="26" t="s">
        <v>50</v>
      </c>
      <c r="D16" s="26" t="s">
        <v>51</v>
      </c>
      <c r="E16" s="41" t="s">
        <v>52</v>
      </c>
      <c r="F16" s="28" t="s">
        <v>46</v>
      </c>
      <c r="G16" s="28" t="s">
        <v>37</v>
      </c>
      <c r="I16" s="16" t="n">
        <v>15</v>
      </c>
      <c r="J16" s="16" t="n">
        <f aca="false">I16/2</f>
        <v>7.5</v>
      </c>
      <c r="K16" s="17" t="n">
        <f aca="false">J16*300</f>
        <v>2250</v>
      </c>
      <c r="M16" s="18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  <c r="AB16" s="16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customFormat="false" ht="15" hidden="false" customHeight="false" outlineLevel="0" collapsed="false">
      <c r="A17" s="42" t="n">
        <v>13</v>
      </c>
      <c r="B17" s="25" t="s">
        <v>32</v>
      </c>
      <c r="C17" s="43" t="s">
        <v>53</v>
      </c>
      <c r="D17" s="43" t="s">
        <v>54</v>
      </c>
      <c r="E17" s="44" t="s">
        <v>55</v>
      </c>
      <c r="F17" s="45" t="s">
        <v>56</v>
      </c>
      <c r="G17" s="45" t="s">
        <v>37</v>
      </c>
      <c r="I17" s="16" t="n">
        <v>15</v>
      </c>
      <c r="J17" s="16" t="n">
        <f aca="false">I17/2</f>
        <v>7.5</v>
      </c>
      <c r="K17" s="17" t="n">
        <f aca="false">J17*300</f>
        <v>2250</v>
      </c>
      <c r="M17" s="18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  <c r="AB17" s="16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customFormat="false" ht="15" hidden="false" customHeight="false" outlineLevel="0" collapsed="false">
      <c r="A18" s="42" t="n">
        <v>14</v>
      </c>
      <c r="B18" s="25" t="s">
        <v>32</v>
      </c>
      <c r="C18" s="43" t="s">
        <v>57</v>
      </c>
      <c r="D18" s="43" t="s">
        <v>58</v>
      </c>
      <c r="E18" s="44" t="s">
        <v>45</v>
      </c>
      <c r="F18" s="45" t="s">
        <v>59</v>
      </c>
      <c r="G18" s="45" t="s">
        <v>37</v>
      </c>
      <c r="I18" s="16" t="n">
        <v>50</v>
      </c>
      <c r="J18" s="16" t="n">
        <f aca="false">I18/2</f>
        <v>25</v>
      </c>
      <c r="K18" s="17" t="n">
        <f aca="false">J18*300</f>
        <v>7500</v>
      </c>
      <c r="M18" s="18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0"/>
      <c r="AB18" s="16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customFormat="false" ht="15" hidden="false" customHeight="false" outlineLevel="0" collapsed="false">
      <c r="A19" s="42" t="n">
        <v>15</v>
      </c>
      <c r="B19" s="25" t="s">
        <v>32</v>
      </c>
      <c r="C19" s="43" t="s">
        <v>60</v>
      </c>
      <c r="D19" s="43" t="s">
        <v>61</v>
      </c>
      <c r="E19" s="46" t="s">
        <v>14</v>
      </c>
      <c r="F19" s="45" t="s">
        <v>62</v>
      </c>
      <c r="G19" s="45" t="s">
        <v>37</v>
      </c>
      <c r="I19" s="16" t="n">
        <v>15</v>
      </c>
      <c r="J19" s="16" t="n">
        <f aca="false">I19/2</f>
        <v>7.5</v>
      </c>
      <c r="K19" s="17" t="n">
        <f aca="false">J19*300</f>
        <v>2250</v>
      </c>
      <c r="M19" s="18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0"/>
      <c r="AB19" s="16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customFormat="false" ht="15" hidden="false" customHeight="true" outlineLevel="0" collapsed="false">
      <c r="A20" s="5" t="s">
        <v>63</v>
      </c>
      <c r="B20" s="5"/>
      <c r="C20" s="5"/>
      <c r="D20" s="5"/>
      <c r="E20" s="5"/>
      <c r="F20" s="5"/>
      <c r="G20" s="5"/>
      <c r="K20" s="2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customFormat="false" ht="15" hidden="false" customHeight="false" outlineLevel="0" collapsed="false">
      <c r="A21" s="47" t="n">
        <v>16</v>
      </c>
      <c r="B21" s="48" t="s">
        <v>63</v>
      </c>
      <c r="C21" s="49" t="s">
        <v>64</v>
      </c>
      <c r="D21" s="49" t="s">
        <v>65</v>
      </c>
      <c r="E21" s="50" t="s">
        <v>35</v>
      </c>
      <c r="F21" s="51" t="s">
        <v>66</v>
      </c>
      <c r="G21" s="51" t="s">
        <v>37</v>
      </c>
      <c r="I21" s="29" t="n">
        <v>50</v>
      </c>
      <c r="J21" s="30" t="n">
        <f aca="false">I21/2</f>
        <v>25</v>
      </c>
      <c r="K21" s="17" t="n">
        <f aca="false">J21*300</f>
        <v>7500</v>
      </c>
      <c r="M21" s="52"/>
      <c r="N21" s="53"/>
      <c r="O21" s="53"/>
      <c r="P21" s="53"/>
      <c r="Q21" s="53"/>
      <c r="R21" s="53"/>
      <c r="S21" s="53"/>
      <c r="T21" s="54"/>
      <c r="U21" s="52"/>
      <c r="V21" s="53"/>
      <c r="W21" s="53"/>
      <c r="X21" s="53"/>
      <c r="Y21" s="54"/>
      <c r="Z21" s="34"/>
      <c r="AB21" s="55"/>
      <c r="AC21" s="56"/>
      <c r="AD21" s="56"/>
      <c r="AE21" s="56"/>
      <c r="AF21" s="56"/>
      <c r="AG21" s="56"/>
      <c r="AH21" s="56"/>
      <c r="AI21" s="57"/>
      <c r="AJ21" s="55"/>
      <c r="AK21" s="56"/>
      <c r="AL21" s="56"/>
      <c r="AM21" s="56"/>
      <c r="AN21" s="57"/>
    </row>
    <row r="22" customFormat="false" ht="15" hidden="false" customHeight="false" outlineLevel="0" collapsed="false">
      <c r="A22" s="47" t="n">
        <v>17</v>
      </c>
      <c r="B22" s="48" t="s">
        <v>63</v>
      </c>
      <c r="C22" s="49" t="s">
        <v>67</v>
      </c>
      <c r="D22" s="49" t="s">
        <v>68</v>
      </c>
      <c r="E22" s="50" t="s">
        <v>45</v>
      </c>
      <c r="F22" s="51" t="s">
        <v>66</v>
      </c>
      <c r="G22" s="51" t="s">
        <v>37</v>
      </c>
      <c r="I22" s="16" t="n">
        <v>70</v>
      </c>
      <c r="J22" s="16" t="n">
        <f aca="false">I22/2</f>
        <v>35</v>
      </c>
      <c r="K22" s="17" t="n">
        <f aca="false">J22*300</f>
        <v>10500</v>
      </c>
      <c r="M22" s="18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0"/>
      <c r="AB22" s="16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customFormat="false" ht="15" hidden="false" customHeight="false" outlineLevel="0" collapsed="false">
      <c r="A23" s="47" t="n">
        <v>18</v>
      </c>
      <c r="B23" s="48" t="s">
        <v>63</v>
      </c>
      <c r="C23" s="49" t="s">
        <v>69</v>
      </c>
      <c r="D23" s="49" t="s">
        <v>70</v>
      </c>
      <c r="E23" s="50" t="s">
        <v>45</v>
      </c>
      <c r="F23" s="51" t="s">
        <v>71</v>
      </c>
      <c r="G23" s="51" t="s">
        <v>37</v>
      </c>
      <c r="I23" s="16" t="n">
        <v>60</v>
      </c>
      <c r="J23" s="16" t="n">
        <f aca="false">I23/2</f>
        <v>30</v>
      </c>
      <c r="K23" s="17" t="n">
        <f aca="false">J23*300</f>
        <v>9000</v>
      </c>
      <c r="M23" s="18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0"/>
      <c r="AB23" s="16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customFormat="false" ht="15" hidden="false" customHeight="false" outlineLevel="0" collapsed="false">
      <c r="A24" s="47" t="n">
        <v>19</v>
      </c>
      <c r="B24" s="48" t="s">
        <v>63</v>
      </c>
      <c r="C24" s="49" t="s">
        <v>72</v>
      </c>
      <c r="D24" s="49" t="s">
        <v>73</v>
      </c>
      <c r="E24" s="50" t="s">
        <v>74</v>
      </c>
      <c r="F24" s="51" t="s">
        <v>71</v>
      </c>
      <c r="G24" s="51" t="s">
        <v>37</v>
      </c>
      <c r="I24" s="16" t="n">
        <v>90</v>
      </c>
      <c r="J24" s="16" t="n">
        <f aca="false">I24/2</f>
        <v>45</v>
      </c>
      <c r="K24" s="17" t="n">
        <f aca="false">J24*300</f>
        <v>13500</v>
      </c>
      <c r="M24" s="18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  <c r="AB24" s="16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customFormat="false" ht="15" hidden="false" customHeight="false" outlineLevel="0" collapsed="false">
      <c r="A25" s="47" t="n">
        <v>20</v>
      </c>
      <c r="B25" s="48" t="s">
        <v>63</v>
      </c>
      <c r="C25" s="49" t="s">
        <v>75</v>
      </c>
      <c r="D25" s="49" t="s">
        <v>76</v>
      </c>
      <c r="E25" s="50" t="s">
        <v>74</v>
      </c>
      <c r="F25" s="51" t="s">
        <v>77</v>
      </c>
      <c r="G25" s="51" t="s">
        <v>37</v>
      </c>
      <c r="I25" s="16" t="n">
        <v>80</v>
      </c>
      <c r="J25" s="16" t="n">
        <f aca="false">I25/2</f>
        <v>40</v>
      </c>
      <c r="K25" s="17" t="n">
        <f aca="false">J25*300</f>
        <v>12000</v>
      </c>
      <c r="M25" s="1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  <c r="AB25" s="16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customFormat="false" ht="15" hidden="false" customHeight="false" outlineLevel="0" collapsed="false">
      <c r="A26" s="47" t="n">
        <v>21</v>
      </c>
      <c r="B26" s="48" t="s">
        <v>63</v>
      </c>
      <c r="C26" s="49" t="s">
        <v>78</v>
      </c>
      <c r="D26" s="49" t="s">
        <v>79</v>
      </c>
      <c r="E26" s="50" t="s">
        <v>74</v>
      </c>
      <c r="F26" s="51" t="s">
        <v>77</v>
      </c>
      <c r="G26" s="51" t="s">
        <v>37</v>
      </c>
      <c r="I26" s="16" t="n">
        <v>40</v>
      </c>
      <c r="J26" s="16" t="n">
        <f aca="false">I26/2</f>
        <v>20</v>
      </c>
      <c r="K26" s="17" t="n">
        <f aca="false">J26*300</f>
        <v>6000</v>
      </c>
      <c r="M26" s="1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  <c r="AB26" s="16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customFormat="false" ht="15" hidden="false" customHeight="false" outlineLevel="0" collapsed="false">
      <c r="A27" s="47" t="n">
        <v>22</v>
      </c>
      <c r="B27" s="48" t="s">
        <v>63</v>
      </c>
      <c r="C27" s="49" t="s">
        <v>80</v>
      </c>
      <c r="D27" s="49" t="s">
        <v>81</v>
      </c>
      <c r="E27" s="58" t="s">
        <v>74</v>
      </c>
      <c r="F27" s="51" t="s">
        <v>77</v>
      </c>
      <c r="G27" s="51" t="s">
        <v>37</v>
      </c>
      <c r="I27" s="16" t="n">
        <v>35</v>
      </c>
      <c r="J27" s="16" t="n">
        <f aca="false">I27/2</f>
        <v>17.5</v>
      </c>
      <c r="K27" s="17" t="n">
        <f aca="false">J27*300</f>
        <v>5250</v>
      </c>
      <c r="M27" s="18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/>
      <c r="AB27" s="16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customFormat="false" ht="15" hidden="false" customHeight="false" outlineLevel="0" collapsed="false">
      <c r="A28" s="59" t="n">
        <v>23</v>
      </c>
      <c r="B28" s="60" t="s">
        <v>63</v>
      </c>
      <c r="C28" s="61" t="s">
        <v>82</v>
      </c>
      <c r="D28" s="61" t="s">
        <v>83</v>
      </c>
      <c r="E28" s="62" t="s">
        <v>84</v>
      </c>
      <c r="F28" s="63" t="s">
        <v>77</v>
      </c>
      <c r="G28" s="63" t="s">
        <v>37</v>
      </c>
      <c r="I28" s="16" t="n">
        <v>80</v>
      </c>
      <c r="J28" s="16" t="n">
        <f aca="false">I28/2</f>
        <v>40</v>
      </c>
      <c r="K28" s="17" t="n">
        <f aca="false">J28*300</f>
        <v>12000</v>
      </c>
      <c r="M28" s="1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20"/>
      <c r="AB28" s="16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customFormat="false" ht="15" hidden="false" customHeight="false" outlineLevel="0" collapsed="false">
      <c r="A29" s="64" t="n">
        <v>24</v>
      </c>
      <c r="B29" s="65" t="s">
        <v>63</v>
      </c>
      <c r="C29" s="66" t="s">
        <v>85</v>
      </c>
      <c r="D29" s="66" t="s">
        <v>86</v>
      </c>
      <c r="E29" s="67" t="s">
        <v>87</v>
      </c>
      <c r="F29" s="68" t="s">
        <v>77</v>
      </c>
      <c r="G29" s="69" t="s">
        <v>37</v>
      </c>
      <c r="I29" s="16" t="n">
        <v>40</v>
      </c>
      <c r="J29" s="16" t="n">
        <f aca="false">I29/2</f>
        <v>20</v>
      </c>
      <c r="K29" s="17" t="n">
        <f aca="false">J29*300</f>
        <v>6000</v>
      </c>
      <c r="M29" s="1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"/>
      <c r="AB29" s="16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customFormat="false" ht="15" hidden="false" customHeight="true" outlineLevel="0" collapsed="false">
      <c r="A30" s="70" t="s">
        <v>88</v>
      </c>
      <c r="B30" s="70"/>
      <c r="C30" s="70"/>
      <c r="D30" s="70"/>
      <c r="E30" s="70"/>
      <c r="F30" s="70"/>
      <c r="G30" s="70"/>
      <c r="K30" s="2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customFormat="false" ht="15" hidden="false" customHeight="false" outlineLevel="0" collapsed="false">
      <c r="A31" s="71" t="n">
        <v>25</v>
      </c>
      <c r="B31" s="72" t="s">
        <v>88</v>
      </c>
      <c r="C31" s="73" t="s">
        <v>89</v>
      </c>
      <c r="D31" s="73" t="s">
        <v>90</v>
      </c>
      <c r="E31" s="74" t="s">
        <v>91</v>
      </c>
      <c r="F31" s="75" t="s">
        <v>92</v>
      </c>
      <c r="G31" s="75" t="s">
        <v>37</v>
      </c>
      <c r="I31" s="29" t="n">
        <v>50</v>
      </c>
      <c r="J31" s="30" t="n">
        <f aca="false">I31/2</f>
        <v>25</v>
      </c>
      <c r="K31" s="17" t="n">
        <f aca="false">J31*300</f>
        <v>7500</v>
      </c>
      <c r="M31" s="76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4"/>
      <c r="Z31" s="34"/>
      <c r="AB31" s="30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7"/>
    </row>
    <row r="32" customFormat="false" ht="15" hidden="false" customHeight="false" outlineLevel="0" collapsed="false">
      <c r="A32" s="71" t="n">
        <v>26</v>
      </c>
      <c r="B32" s="72" t="s">
        <v>88</v>
      </c>
      <c r="C32" s="73" t="s">
        <v>93</v>
      </c>
      <c r="D32" s="73" t="s">
        <v>94</v>
      </c>
      <c r="E32" s="74" t="s">
        <v>91</v>
      </c>
      <c r="F32" s="75" t="s">
        <v>92</v>
      </c>
      <c r="G32" s="75" t="s">
        <v>37</v>
      </c>
      <c r="I32" s="16" t="n">
        <v>40</v>
      </c>
      <c r="J32" s="16" t="n">
        <f aca="false">I32/2</f>
        <v>20</v>
      </c>
      <c r="K32" s="17" t="n">
        <f aca="false">J32*300</f>
        <v>6000</v>
      </c>
      <c r="M32" s="1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  <c r="AB32" s="16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customFormat="false" ht="15" hidden="false" customHeight="false" outlineLevel="0" collapsed="false">
      <c r="A33" s="71" t="n">
        <v>27</v>
      </c>
      <c r="B33" s="72" t="s">
        <v>88</v>
      </c>
      <c r="C33" s="73" t="s">
        <v>95</v>
      </c>
      <c r="D33" s="73" t="s">
        <v>96</v>
      </c>
      <c r="E33" s="74" t="s">
        <v>91</v>
      </c>
      <c r="F33" s="75" t="s">
        <v>97</v>
      </c>
      <c r="G33" s="75" t="s">
        <v>37</v>
      </c>
      <c r="I33" s="16" t="n">
        <v>60</v>
      </c>
      <c r="J33" s="16" t="n">
        <f aca="false">I33/2</f>
        <v>30</v>
      </c>
      <c r="K33" s="17" t="n">
        <f aca="false">J33*300</f>
        <v>9000</v>
      </c>
      <c r="M33" s="1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"/>
      <c r="AB33" s="16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customFormat="false" ht="15" hidden="false" customHeight="false" outlineLevel="0" collapsed="false">
      <c r="A34" s="71" t="n">
        <v>28</v>
      </c>
      <c r="B34" s="72" t="s">
        <v>88</v>
      </c>
      <c r="C34" s="73" t="s">
        <v>98</v>
      </c>
      <c r="D34" s="73" t="s">
        <v>99</v>
      </c>
      <c r="E34" s="77" t="s">
        <v>91</v>
      </c>
      <c r="F34" s="75" t="s">
        <v>100</v>
      </c>
      <c r="G34" s="75" t="s">
        <v>37</v>
      </c>
      <c r="I34" s="16" t="n">
        <v>50</v>
      </c>
      <c r="J34" s="16" t="n">
        <f aca="false">I34/2</f>
        <v>25</v>
      </c>
      <c r="K34" s="17" t="n">
        <f aca="false">J34*300</f>
        <v>7500</v>
      </c>
      <c r="M34" s="1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  <c r="AB34" s="16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customFormat="false" ht="15" hidden="false" customHeight="false" outlineLevel="0" collapsed="false">
      <c r="A35" s="71" t="n">
        <v>29</v>
      </c>
      <c r="B35" s="72" t="s">
        <v>88</v>
      </c>
      <c r="C35" s="78" t="s">
        <v>101</v>
      </c>
      <c r="D35" s="79" t="s">
        <v>102</v>
      </c>
      <c r="E35" s="80" t="s">
        <v>91</v>
      </c>
      <c r="F35" s="81" t="s">
        <v>103</v>
      </c>
      <c r="G35" s="75" t="s">
        <v>37</v>
      </c>
      <c r="I35" s="16" t="n">
        <v>50</v>
      </c>
      <c r="J35" s="16" t="n">
        <f aca="false">I35/2</f>
        <v>25</v>
      </c>
      <c r="K35" s="17" t="n">
        <f aca="false">J35*300</f>
        <v>7500</v>
      </c>
      <c r="M35" s="1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0"/>
      <c r="AB35" s="16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customFormat="false" ht="15" hidden="false" customHeight="false" outlineLevel="0" collapsed="false">
      <c r="A36" s="82" t="n">
        <v>30</v>
      </c>
      <c r="B36" s="72" t="s">
        <v>88</v>
      </c>
      <c r="C36" s="78" t="s">
        <v>104</v>
      </c>
      <c r="D36" s="83" t="s">
        <v>105</v>
      </c>
      <c r="E36" s="84" t="s">
        <v>14</v>
      </c>
      <c r="F36" s="85" t="s">
        <v>103</v>
      </c>
      <c r="G36" s="86" t="s">
        <v>37</v>
      </c>
      <c r="I36" s="16" t="n">
        <v>20</v>
      </c>
      <c r="J36" s="16" t="n">
        <f aca="false">I36/2</f>
        <v>10</v>
      </c>
      <c r="K36" s="17" t="n">
        <f aca="false">J36*300</f>
        <v>3000</v>
      </c>
      <c r="M36" s="1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  <c r="AB36" s="16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customFormat="false" ht="15" hidden="false" customHeight="false" outlineLevel="0" collapsed="false">
      <c r="A37" s="87"/>
      <c r="B37" s="87"/>
      <c r="C37" s="87"/>
      <c r="D37" s="87"/>
      <c r="E37" s="87"/>
      <c r="F37" s="87"/>
      <c r="G37" s="87"/>
      <c r="I37" s="88" t="n">
        <f aca="false">SUM(I4:I36)+SUM(I42:I45)</f>
        <v>1742</v>
      </c>
      <c r="J37" s="89" t="n">
        <f aca="false">I37/2</f>
        <v>871</v>
      </c>
      <c r="K37" s="90" t="n">
        <f aca="false">J37*300</f>
        <v>261300</v>
      </c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customFormat="false" ht="15" hidden="false" customHeight="false" outlineLevel="0" collapsed="false"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customFormat="false" ht="15" hidden="false" customHeight="false" outlineLevel="0" collapsed="false">
      <c r="F39" s="93" t="s">
        <v>106</v>
      </c>
      <c r="G39" s="93"/>
      <c r="H39" s="93"/>
      <c r="I39" s="94" t="s">
        <v>107</v>
      </c>
    </row>
    <row r="41" customFormat="false" ht="15" hidden="false" customHeight="false" outlineLevel="0" collapsed="false">
      <c r="F41" s="95" t="s">
        <v>108</v>
      </c>
      <c r="G41" s="96"/>
      <c r="H41" s="96" t="s">
        <v>109</v>
      </c>
      <c r="I41" s="97" t="s">
        <v>110</v>
      </c>
    </row>
    <row r="42" customFormat="false" ht="15" hidden="false" customHeight="false" outlineLevel="0" collapsed="false">
      <c r="F42" s="98" t="s">
        <v>111</v>
      </c>
      <c r="G42" s="99"/>
      <c r="H42" s="16" t="n">
        <v>20</v>
      </c>
      <c r="I42" s="100" t="n">
        <f aca="false">(13*H42)</f>
        <v>260</v>
      </c>
    </row>
    <row r="43" customFormat="false" ht="15" hidden="false" customHeight="false" outlineLevel="0" collapsed="false">
      <c r="F43" s="98" t="s">
        <v>112</v>
      </c>
      <c r="G43" s="99"/>
      <c r="H43" s="16" t="n">
        <v>10</v>
      </c>
      <c r="I43" s="100" t="n">
        <f aca="false">(13*H43)</f>
        <v>130</v>
      </c>
    </row>
    <row r="44" customFormat="false" ht="15" hidden="false" customHeight="false" outlineLevel="0" collapsed="false">
      <c r="F44" s="98" t="s">
        <v>113</v>
      </c>
      <c r="G44" s="99"/>
      <c r="H44" s="16" t="n">
        <v>10</v>
      </c>
      <c r="I44" s="100" t="n">
        <f aca="false">(13*H44)</f>
        <v>130</v>
      </c>
    </row>
    <row r="45" customFormat="false" ht="15" hidden="false" customHeight="false" outlineLevel="0" collapsed="false">
      <c r="F45" s="101" t="s">
        <v>114</v>
      </c>
      <c r="G45" s="102"/>
      <c r="H45" s="103" t="n">
        <v>7</v>
      </c>
      <c r="I45" s="104" t="n">
        <f aca="false">(13*H45)</f>
        <v>91</v>
      </c>
    </row>
  </sheetData>
  <mergeCells count="7">
    <mergeCell ref="A1:G1"/>
    <mergeCell ref="A3:G3"/>
    <mergeCell ref="A10:G10"/>
    <mergeCell ref="A20:G20"/>
    <mergeCell ref="A30:G30"/>
    <mergeCell ref="A37:G37"/>
    <mergeCell ref="F39:H39"/>
  </mergeCells>
  <dataValidations count="1">
    <dataValidation allowBlank="true" errorStyle="stop" operator="between" showDropDown="false" showErrorMessage="true" showInputMessage="true" sqref="G4:G9 G11:G19 G21:G29 G31:G36 G38" type="list">
      <formula1>"Nezahájeno,Probíhá,Dokončeno"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1.71"/>
    <col collapsed="false" customWidth="true" hidden="false" outlineLevel="0" max="3" min="3" style="0" width="59.14"/>
    <col collapsed="false" customWidth="true" hidden="false" outlineLevel="0" max="4" min="4" style="0" width="61"/>
    <col collapsed="false" customWidth="true" hidden="false" outlineLevel="0" max="5" min="5" style="0" width="82.57"/>
    <col collapsed="false" customWidth="true" hidden="false" outlineLevel="0" max="6" min="6" style="0" width="26.15"/>
    <col collapsed="false" customWidth="true" hidden="false" outlineLevel="0" max="7" min="7" style="0" width="14.86"/>
  </cols>
  <sheetData>
    <row r="1" customFormat="false" ht="1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122</v>
      </c>
    </row>
    <row r="3" customFormat="false" ht="15" hidden="false" customHeight="false" outlineLevel="0" collapsed="false">
      <c r="A3" s="11" t="s">
        <v>123</v>
      </c>
      <c r="B3" s="105" t="s">
        <v>124</v>
      </c>
      <c r="C3" s="13" t="s">
        <v>125</v>
      </c>
      <c r="D3" s="13" t="s">
        <v>126</v>
      </c>
      <c r="E3" s="13" t="s">
        <v>127</v>
      </c>
      <c r="F3" s="13" t="s">
        <v>128</v>
      </c>
      <c r="G3" s="15" t="s">
        <v>129</v>
      </c>
    </row>
    <row r="4" customFormat="false" ht="22.35" hidden="false" customHeight="false" outlineLevel="0" collapsed="false">
      <c r="A4" s="11" t="s">
        <v>130</v>
      </c>
      <c r="B4" s="105" t="s">
        <v>124</v>
      </c>
      <c r="C4" s="13" t="s">
        <v>131</v>
      </c>
      <c r="D4" s="13" t="s">
        <v>132</v>
      </c>
      <c r="E4" s="13" t="s">
        <v>133</v>
      </c>
      <c r="F4" s="13" t="s">
        <v>128</v>
      </c>
      <c r="G4" s="15" t="s">
        <v>129</v>
      </c>
    </row>
    <row r="5" customFormat="false" ht="15" hidden="false" customHeight="false" outlineLevel="0" collapsed="false">
      <c r="A5" s="11" t="s">
        <v>134</v>
      </c>
      <c r="B5" s="105" t="s">
        <v>124</v>
      </c>
      <c r="C5" s="13" t="s">
        <v>135</v>
      </c>
      <c r="D5" s="13" t="s">
        <v>136</v>
      </c>
      <c r="E5" s="13" t="s">
        <v>137</v>
      </c>
      <c r="F5" s="13" t="s">
        <v>128</v>
      </c>
      <c r="G5" s="15" t="s">
        <v>129</v>
      </c>
    </row>
    <row r="6" customFormat="false" ht="22.35" hidden="false" customHeight="false" outlineLevel="0" collapsed="false">
      <c r="A6" s="11" t="s">
        <v>138</v>
      </c>
      <c r="B6" s="105" t="s">
        <v>124</v>
      </c>
      <c r="C6" s="13" t="s">
        <v>139</v>
      </c>
      <c r="D6" s="13" t="s">
        <v>140</v>
      </c>
      <c r="E6" s="13" t="s">
        <v>141</v>
      </c>
      <c r="F6" s="13" t="s">
        <v>128</v>
      </c>
      <c r="G6" s="15" t="s">
        <v>129</v>
      </c>
    </row>
    <row r="7" customFormat="false" ht="15" hidden="false" customHeight="false" outlineLevel="0" collapsed="false">
      <c r="A7" s="11" t="s">
        <v>142</v>
      </c>
      <c r="B7" s="105" t="s">
        <v>124</v>
      </c>
      <c r="C7" s="13" t="s">
        <v>143</v>
      </c>
      <c r="D7" s="13" t="s">
        <v>144</v>
      </c>
      <c r="E7" s="13" t="s">
        <v>145</v>
      </c>
      <c r="F7" s="13" t="s">
        <v>128</v>
      </c>
      <c r="G7" s="15" t="s">
        <v>129</v>
      </c>
    </row>
    <row r="8" customFormat="false" ht="15" hidden="false" customHeight="false" outlineLevel="0" collapsed="false">
      <c r="A8" s="11" t="s">
        <v>146</v>
      </c>
      <c r="B8" s="105" t="s">
        <v>124</v>
      </c>
      <c r="C8" s="13" t="s">
        <v>147</v>
      </c>
      <c r="D8" s="13" t="s">
        <v>148</v>
      </c>
      <c r="E8" s="13" t="s">
        <v>149</v>
      </c>
      <c r="F8" s="13" t="s">
        <v>128</v>
      </c>
      <c r="G8" s="15" t="s">
        <v>129</v>
      </c>
    </row>
    <row r="9" customFormat="false" ht="22.35" hidden="false" customHeight="false" outlineLevel="0" collapsed="false">
      <c r="A9" s="24" t="s">
        <v>150</v>
      </c>
      <c r="B9" s="106" t="s">
        <v>151</v>
      </c>
      <c r="C9" s="26" t="s">
        <v>152</v>
      </c>
      <c r="D9" s="26" t="s">
        <v>153</v>
      </c>
      <c r="E9" s="26" t="s">
        <v>154</v>
      </c>
      <c r="F9" s="26" t="s">
        <v>128</v>
      </c>
      <c r="G9" s="28" t="s">
        <v>155</v>
      </c>
    </row>
    <row r="10" customFormat="false" ht="15" hidden="false" customHeight="false" outlineLevel="0" collapsed="false">
      <c r="A10" s="24" t="s">
        <v>156</v>
      </c>
      <c r="B10" s="106" t="s">
        <v>151</v>
      </c>
      <c r="C10" s="26" t="s">
        <v>157</v>
      </c>
      <c r="D10" s="26" t="s">
        <v>158</v>
      </c>
      <c r="E10" s="26" t="s">
        <v>159</v>
      </c>
      <c r="F10" s="26" t="s">
        <v>128</v>
      </c>
      <c r="G10" s="28" t="s">
        <v>155</v>
      </c>
    </row>
    <row r="11" customFormat="false" ht="22.35" hidden="false" customHeight="false" outlineLevel="0" collapsed="false">
      <c r="A11" s="24" t="s">
        <v>160</v>
      </c>
      <c r="B11" s="106" t="s">
        <v>151</v>
      </c>
      <c r="C11" s="26" t="s">
        <v>161</v>
      </c>
      <c r="D11" s="26" t="s">
        <v>162</v>
      </c>
      <c r="E11" s="26" t="s">
        <v>163</v>
      </c>
      <c r="F11" s="26" t="s">
        <v>128</v>
      </c>
      <c r="G11" s="28" t="s">
        <v>129</v>
      </c>
    </row>
    <row r="12" customFormat="false" ht="15" hidden="false" customHeight="false" outlineLevel="0" collapsed="false">
      <c r="A12" s="24" t="s">
        <v>164</v>
      </c>
      <c r="B12" s="106" t="s">
        <v>151</v>
      </c>
      <c r="C12" s="26" t="s">
        <v>165</v>
      </c>
      <c r="D12" s="26" t="s">
        <v>166</v>
      </c>
      <c r="E12" s="26" t="s">
        <v>167</v>
      </c>
      <c r="F12" s="26" t="s">
        <v>128</v>
      </c>
      <c r="G12" s="28" t="s">
        <v>129</v>
      </c>
    </row>
    <row r="13" customFormat="false" ht="15" hidden="false" customHeight="false" outlineLevel="0" collapsed="false">
      <c r="A13" s="71" t="s">
        <v>168</v>
      </c>
      <c r="B13" s="107" t="s">
        <v>169</v>
      </c>
      <c r="C13" s="73" t="s">
        <v>170</v>
      </c>
      <c r="D13" s="73" t="s">
        <v>171</v>
      </c>
      <c r="E13" s="73" t="s">
        <v>172</v>
      </c>
      <c r="F13" s="73" t="s">
        <v>128</v>
      </c>
      <c r="G13" s="75" t="s">
        <v>129</v>
      </c>
    </row>
    <row r="14" customFormat="false" ht="15" hidden="false" customHeight="false" outlineLevel="0" collapsed="false">
      <c r="A14" s="71" t="s">
        <v>173</v>
      </c>
      <c r="B14" s="107" t="s">
        <v>169</v>
      </c>
      <c r="C14" s="73" t="s">
        <v>174</v>
      </c>
      <c r="D14" s="73" t="s">
        <v>175</v>
      </c>
      <c r="E14" s="73" t="s">
        <v>176</v>
      </c>
      <c r="F14" s="73" t="s">
        <v>128</v>
      </c>
      <c r="G14" s="75" t="s">
        <v>129</v>
      </c>
    </row>
    <row r="15" customFormat="false" ht="15" hidden="false" customHeight="false" outlineLevel="0" collapsed="false">
      <c r="A15" s="71" t="s">
        <v>177</v>
      </c>
      <c r="B15" s="107" t="s">
        <v>169</v>
      </c>
      <c r="C15" s="73" t="s">
        <v>178</v>
      </c>
      <c r="D15" s="73" t="s">
        <v>179</v>
      </c>
      <c r="E15" s="73" t="s">
        <v>180</v>
      </c>
      <c r="F15" s="73" t="s">
        <v>128</v>
      </c>
      <c r="G15" s="75" t="s">
        <v>129</v>
      </c>
    </row>
    <row r="16" customFormat="false" ht="15" hidden="false" customHeight="false" outlineLevel="0" collapsed="false">
      <c r="A16" s="108" t="s">
        <v>181</v>
      </c>
      <c r="B16" s="109" t="s">
        <v>182</v>
      </c>
      <c r="C16" s="110" t="s">
        <v>183</v>
      </c>
      <c r="D16" s="110" t="s">
        <v>184</v>
      </c>
      <c r="E16" s="110" t="s">
        <v>185</v>
      </c>
      <c r="F16" s="110" t="s">
        <v>128</v>
      </c>
      <c r="G16" s="111" t="s">
        <v>129</v>
      </c>
    </row>
    <row r="17" customFormat="false" ht="22.35" hidden="false" customHeight="false" outlineLevel="0" collapsed="false">
      <c r="A17" s="108" t="s">
        <v>186</v>
      </c>
      <c r="B17" s="109" t="s">
        <v>182</v>
      </c>
      <c r="C17" s="110" t="s">
        <v>187</v>
      </c>
      <c r="D17" s="110" t="s">
        <v>188</v>
      </c>
      <c r="E17" s="110" t="s">
        <v>189</v>
      </c>
      <c r="F17" s="110" t="s">
        <v>128</v>
      </c>
      <c r="G17" s="111" t="s">
        <v>129</v>
      </c>
    </row>
    <row r="18" customFormat="false" ht="15" hidden="false" customHeight="false" outlineLevel="0" collapsed="false">
      <c r="A18" s="108" t="s">
        <v>190</v>
      </c>
      <c r="B18" s="109" t="s">
        <v>182</v>
      </c>
      <c r="C18" s="110" t="s">
        <v>191</v>
      </c>
      <c r="D18" s="110" t="s">
        <v>192</v>
      </c>
      <c r="E18" s="110" t="s">
        <v>193</v>
      </c>
      <c r="F18" s="110" t="s">
        <v>128</v>
      </c>
      <c r="G18" s="111" t="s">
        <v>129</v>
      </c>
    </row>
    <row r="19" customFormat="false" ht="22.35" hidden="false" customHeight="false" outlineLevel="0" collapsed="false">
      <c r="A19" s="112" t="s">
        <v>194</v>
      </c>
      <c r="B19" s="113" t="s">
        <v>195</v>
      </c>
      <c r="C19" s="114" t="s">
        <v>196</v>
      </c>
      <c r="D19" s="114" t="s">
        <v>197</v>
      </c>
      <c r="E19" s="114" t="s">
        <v>198</v>
      </c>
      <c r="F19" s="114" t="s">
        <v>128</v>
      </c>
      <c r="G19" s="115" t="s">
        <v>129</v>
      </c>
    </row>
    <row r="20" customFormat="false" ht="15" hidden="false" customHeight="false" outlineLevel="0" collapsed="false">
      <c r="A20" s="112" t="s">
        <v>199</v>
      </c>
      <c r="B20" s="113" t="s">
        <v>195</v>
      </c>
      <c r="C20" s="114" t="s">
        <v>200</v>
      </c>
      <c r="D20" s="114" t="s">
        <v>201</v>
      </c>
      <c r="E20" s="114" t="s">
        <v>202</v>
      </c>
      <c r="F20" s="114" t="s">
        <v>128</v>
      </c>
      <c r="G20" s="115" t="s">
        <v>129</v>
      </c>
    </row>
  </sheetData>
  <mergeCells count="1">
    <mergeCell ref="A1:G1"/>
  </mergeCells>
  <dataValidations count="1">
    <dataValidation allowBlank="true" errorStyle="stop" operator="between" showDropDown="false" showErrorMessage="true" showInputMessage="true" sqref="G3:G20" type="list">
      <formula1>"Otevřené,Mitigované,Uzavřené"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FFCD26306F68428D32F6641425C45E" ma:contentTypeVersion="9" ma:contentTypeDescription="Vytvoří nový dokument" ma:contentTypeScope="" ma:versionID="60480f3884e5cda04db7e2395726012f">
  <xsd:schema xmlns:xsd="http://www.w3.org/2001/XMLSchema" xmlns:xs="http://www.w3.org/2001/XMLSchema" xmlns:p="http://schemas.microsoft.com/office/2006/metadata/properties" xmlns:ns2="dce5d5d7-3e75-4b37-9470-fb019a36d659" targetNamespace="http://schemas.microsoft.com/office/2006/metadata/properties" ma:root="true" ma:fieldsID="06e6ce8921b06282a4ca8dfaa4cd1093" ns2:_="">
    <xsd:import namespace="dce5d5d7-3e75-4b37-9470-fb019a36d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5d5d7-3e75-4b37-9470-fb019a36d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09e14e92-8d04-4d6d-b0a4-942c3653fa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e5d5d7-3e75-4b37-9470-fb019a36d6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7DEC0-3990-4C19-96A3-0437A3638961}"/>
</file>

<file path=customXml/itemProps2.xml><?xml version="1.0" encoding="utf-8"?>
<ds:datastoreItem xmlns:ds="http://schemas.openxmlformats.org/officeDocument/2006/customXml" ds:itemID="{B35B8116-8EDC-4FD9-956D-42B901BD6A03}"/>
</file>

<file path=customXml/itemProps3.xml><?xml version="1.0" encoding="utf-8"?>
<ds:datastoreItem xmlns:ds="http://schemas.openxmlformats.org/officeDocument/2006/customXml" ds:itemID="{C9CDED43-C171-4F3A-B3C5-49D9E80F1A9A}"/>
</file>

<file path=docMetadata/LabelInfo.xml><?xml version="1.0" encoding="utf-8"?>
<clbl:labelList xmlns:clbl="http://schemas.microsoft.com/office/2020/mipLabelMetadata">
  <clbl:label id="{11f6a6dc-c396-49f6-96f2-ee55ed22e261}" enabled="1" method="Standard" siteId="{d3f10f6d-4a4d-4cde-acb6-284a54d78b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2026-03-05T08:23:09Z</dcterms:created>
  <dc:creator>openpyxl</dc:creator>
  <dc:description/>
  <dc:language>en-US</dc:language>
  <cp:lastModifiedBy/>
  <dcterms:modified xsi:type="dcterms:W3CDTF">2026-03-20T20:28:59Z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0x0101003FFFCD26306F68428D32F6641425C45E</vt:lpwstr>
  </property>
  <property fmtid="{D5CDD505-2E9C-101B-9397-08002B2CF9AE}" pid="3" name="MediaServiceImageTags">
    <vt:lpwstr/>
  </property>
</Properties>
</file>